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jooj\Downloads\"/>
    </mc:Choice>
  </mc:AlternateContent>
  <xr:revisionPtr revIDLastSave="0" documentId="13_ncr:1_{AFFF73AD-A0B0-4299-BBFC-584450A1A224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لوحة المعلومات" sheetId="1" r:id="rId1"/>
    <sheet name="البيانات" sheetId="2" r:id="rId2"/>
    <sheet name="التحليل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0" i="3" l="1"/>
  <c r="B29" i="3"/>
  <c r="B28" i="3"/>
  <c r="B31" i="3" s="1"/>
  <c r="B23" i="3"/>
  <c r="B22" i="3"/>
  <c r="B21" i="3"/>
  <c r="B20" i="3"/>
  <c r="B19" i="3"/>
  <c r="B18" i="3"/>
  <c r="B17" i="3"/>
  <c r="B24" i="3" s="1"/>
  <c r="B12" i="3"/>
  <c r="B11" i="3"/>
  <c r="B10" i="3"/>
  <c r="B13" i="3" s="1"/>
  <c r="B5" i="3"/>
  <c r="B4" i="3"/>
  <c r="B3" i="3"/>
  <c r="B6" i="3" s="1"/>
  <c r="J3" i="1"/>
  <c r="H3" i="1"/>
  <c r="F3" i="1"/>
  <c r="D3" i="1"/>
  <c r="B3" i="1"/>
</calcChain>
</file>

<file path=xl/sharedStrings.xml><?xml version="1.0" encoding="utf-8"?>
<sst xmlns="http://schemas.openxmlformats.org/spreadsheetml/2006/main" count="122" uniqueCount="30">
  <si>
    <t>إجمالي الكتب المباعة</t>
  </si>
  <si>
    <t>إجمالي الإيرادات</t>
  </si>
  <si>
    <t>متوسط الزوار اليومي</t>
  </si>
  <si>
    <t>عدد دور النشر المشاركة</t>
  </si>
  <si>
    <t>إجمالي الزوار</t>
  </si>
  <si>
    <t>التاريخ</t>
  </si>
  <si>
    <t>المدينة</t>
  </si>
  <si>
    <t>الجناح</t>
  </si>
  <si>
    <t>دار النشر</t>
  </si>
  <si>
    <t>التصنيف</t>
  </si>
  <si>
    <t>عدد الكتب المباعة</t>
  </si>
  <si>
    <t>الإيرادات</t>
  </si>
  <si>
    <t>الزوار</t>
  </si>
  <si>
    <t>الرياض</t>
  </si>
  <si>
    <t>A1</t>
  </si>
  <si>
    <t>المعرفة</t>
  </si>
  <si>
    <t>أدب</t>
  </si>
  <si>
    <t>جدة</t>
  </si>
  <si>
    <t>A2</t>
  </si>
  <si>
    <t>الفكر</t>
  </si>
  <si>
    <t>أطفال</t>
  </si>
  <si>
    <t>الدمام</t>
  </si>
  <si>
    <t>A3</t>
  </si>
  <si>
    <t>الإبداع</t>
  </si>
  <si>
    <t>تاريخ</t>
  </si>
  <si>
    <t>الإيرادات حسب دار النشر</t>
  </si>
  <si>
    <t>الإجمالي</t>
  </si>
  <si>
    <t>مبيعات الكتب حسب التصنيف</t>
  </si>
  <si>
    <t>الزوار حسب اليوم</t>
  </si>
  <si>
    <t>مبيعات الكتب حسب الجناح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</si>
</sst>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30"/>
      <color rgb="FF000000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2"/>
      <color rgb="FF1F3864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8CCE4"/>
        <bgColor rgb="FFA9B8D8"/>
      </patternFill>
    </fill>
  </fills>
  <borders count="2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2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3" fontId="7" fillId="3" borderId="1" xfId="0" applyNumberFormat="1" applyFont="1" applyFill="1" applyBorder="1" applyAlignment="1">
      <alignment horizontal="center"/>
    </xf>
    <xf numFmtId="16" fontId="5" fillId="0" borderId="1" xfId="0" applyNumberFormat="1" applyFont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B8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الإيرادات حسب دار النشر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التحليل!$B$2</c:f>
              <c:strCache>
                <c:ptCount val="1"/>
                <c:pt idx="0">
                  <c:v>الإيرادات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4472C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التحليل!$A$3:$A$5</c:f>
              <c:strCache>
                <c:ptCount val="3"/>
                <c:pt idx="0">
                  <c:v>الإبداع</c:v>
                </c:pt>
                <c:pt idx="1">
                  <c:v>الفكر</c:v>
                </c:pt>
                <c:pt idx="2">
                  <c:v>المعرفة</c:v>
                </c:pt>
              </c:strCache>
            </c:strRef>
          </c:cat>
          <c:val>
            <c:numRef>
              <c:f>التحليل!$B$3:$B$5</c:f>
              <c:numCache>
                <c:formatCode>#,##0</c:formatCode>
                <c:ptCount val="3"/>
                <c:pt idx="0">
                  <c:v>41100</c:v>
                </c:pt>
                <c:pt idx="1">
                  <c:v>23700</c:v>
                </c:pt>
                <c:pt idx="2">
                  <c:v>33000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6-48FB-8EAC-1B050D631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43865161"/>
        <c:axId val="19942881"/>
      </c:barChart>
      <c:catAx>
        <c:axId val="4386516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19942881"/>
        <c:crosses val="autoZero"/>
        <c:auto val="1"/>
        <c:lblAlgn val="ctr"/>
        <c:lblOffset val="100"/>
        <c:noMultiLvlLbl val="0"/>
      </c:catAx>
      <c:valAx>
        <c:axId val="19942881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438651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مبيعات حسب التصنيف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التحليل!$B$9</c:f>
              <c:strCache>
                <c:ptCount val="1"/>
                <c:pt idx="0">
                  <c:v>عدد الكتب المباعة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4472C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التحليل!$A$10:$A$12</c:f>
              <c:strCache>
                <c:ptCount val="3"/>
                <c:pt idx="0">
                  <c:v>أدب</c:v>
                </c:pt>
                <c:pt idx="1">
                  <c:v>أطفال</c:v>
                </c:pt>
                <c:pt idx="2">
                  <c:v>تاريخ</c:v>
                </c:pt>
              </c:strCache>
            </c:strRef>
          </c:cat>
          <c:val>
            <c:numRef>
              <c:f>التحليل!$B$10:$B$12</c:f>
              <c:numCache>
                <c:formatCode>#,##0</c:formatCode>
                <c:ptCount val="3"/>
                <c:pt idx="0">
                  <c:v>1080</c:v>
                </c:pt>
                <c:pt idx="1">
                  <c:v>1390</c:v>
                </c:pt>
                <c:pt idx="2">
                  <c:v>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A-4DDC-AAE2-C051B679F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2261084"/>
        <c:axId val="87304022"/>
      </c:barChart>
      <c:catAx>
        <c:axId val="1226108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87304022"/>
        <c:crosses val="autoZero"/>
        <c:auto val="1"/>
        <c:lblAlgn val="ctr"/>
        <c:lblOffset val="100"/>
        <c:noMultiLvlLbl val="0"/>
      </c:catAx>
      <c:valAx>
        <c:axId val="87304022"/>
        <c:scaling>
          <c:orientation val="maxMin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122610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تطور الزوار خلال أيام المعرض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التحليل!$B$16</c:f>
              <c:strCache>
                <c:ptCount val="1"/>
                <c:pt idx="0">
                  <c:v>الزوار</c:v>
                </c:pt>
              </c:strCache>
            </c:strRef>
          </c:tx>
          <c:spPr>
            <a:ln w="28080">
              <a:solidFill>
                <a:srgbClr val="4472C4"/>
              </a:solidFill>
              <a:round/>
            </a:ln>
          </c:spPr>
          <c:marker>
            <c:symbol val="circle"/>
            <c:size val="6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التحليل!$A$17:$A$23</c:f>
              <c:numCache>
                <c:formatCode>d\-mmm</c:formatCode>
                <c:ptCount val="7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</c:numCache>
            </c:numRef>
          </c:cat>
          <c:val>
            <c:numRef>
              <c:f>التحليل!$B$17:$B$23</c:f>
              <c:numCache>
                <c:formatCode>#,##0</c:formatCode>
                <c:ptCount val="7"/>
                <c:pt idx="0">
                  <c:v>1880</c:v>
                </c:pt>
                <c:pt idx="1">
                  <c:v>1760</c:v>
                </c:pt>
                <c:pt idx="2">
                  <c:v>1640</c:v>
                </c:pt>
                <c:pt idx="3">
                  <c:v>1480</c:v>
                </c:pt>
                <c:pt idx="4">
                  <c:v>1530</c:v>
                </c:pt>
                <c:pt idx="5">
                  <c:v>1390</c:v>
                </c:pt>
                <c:pt idx="6">
                  <c:v>1260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4D-435D-BD70-C7F36670E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4991301"/>
        <c:axId val="1173031"/>
      </c:lineChart>
      <c:dateAx>
        <c:axId val="34991301"/>
        <c:scaling>
          <c:orientation val="maxMin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1173031"/>
        <c:crosses val="autoZero"/>
        <c:auto val="1"/>
        <c:lblOffset val="100"/>
        <c:baseTimeUnit val="days"/>
      </c:dateAx>
      <c:valAx>
        <c:axId val="1173031"/>
        <c:scaling>
          <c:orientation val="minMax"/>
        </c:scaling>
        <c:delete val="0"/>
        <c:axPos val="r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349913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مقارنة الأجنحة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التحليل!$B$27</c:f>
              <c:strCache>
                <c:ptCount val="1"/>
                <c:pt idx="0">
                  <c:v>عدد الكتب المباعة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62AC-4CFA-A641-46D9648D3986}"/>
              </c:ext>
            </c:extLst>
          </c:dPt>
          <c:dPt>
            <c:idx val="1"/>
            <c:bubble3D val="0"/>
            <c:spPr>
              <a:solidFill>
                <a:srgbClr val="4F81BD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2AC-4CFA-A641-46D9648D3986}"/>
              </c:ext>
            </c:extLst>
          </c:dPt>
          <c:dPt>
            <c:idx val="2"/>
            <c:bubble3D val="0"/>
            <c:spPr>
              <a:solidFill>
                <a:srgbClr val="A9B8D8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62AC-4CFA-A641-46D9648D398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ar-SA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2AC-4CFA-A641-46D9648D398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ar-SA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62AC-4CFA-A641-46D9648D398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ar-SA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62AC-4CFA-A641-46D9648D39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ar-SA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التحليل!$A$28:$A$30</c:f>
              <c:strCache>
                <c:ptCount val="3"/>
                <c:pt idx="0">
                  <c:v>A1</c:v>
                </c:pt>
                <c:pt idx="1">
                  <c:v>A2</c:v>
                </c:pt>
                <c:pt idx="2">
                  <c:v>A3</c:v>
                </c:pt>
              </c:strCache>
            </c:strRef>
          </c:cat>
          <c:val>
            <c:numRef>
              <c:f>التحليل!$B$28:$B$30</c:f>
              <c:numCache>
                <c:formatCode>#,##0</c:formatCode>
                <c:ptCount val="3"/>
                <c:pt idx="0">
                  <c:v>1080</c:v>
                </c:pt>
                <c:pt idx="1">
                  <c:v>810</c:v>
                </c:pt>
                <c:pt idx="2">
                  <c:v>1370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AC-4CFA-A641-46D9648D3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ar-SA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-817920</xdr:colOff>
      <xdr:row>5</xdr:row>
      <xdr:rowOff>0</xdr:rowOff>
    </xdr:from>
    <xdr:to>
      <xdr:col>6</xdr:col>
      <xdr:colOff>0</xdr:colOff>
      <xdr:row>20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-206640</xdr:colOff>
      <xdr:row>5</xdr:row>
      <xdr:rowOff>0</xdr:rowOff>
    </xdr:from>
    <xdr:to>
      <xdr:col>13</xdr:col>
      <xdr:colOff>0</xdr:colOff>
      <xdr:row>20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-817920</xdr:colOff>
      <xdr:row>22</xdr:row>
      <xdr:rowOff>0</xdr:rowOff>
    </xdr:from>
    <xdr:to>
      <xdr:col>6</xdr:col>
      <xdr:colOff>0</xdr:colOff>
      <xdr:row>37</xdr:row>
      <xdr:rowOff>22320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-206640</xdr:colOff>
      <xdr:row>22</xdr:row>
      <xdr:rowOff>0</xdr:rowOff>
    </xdr:from>
    <xdr:to>
      <xdr:col>13</xdr:col>
      <xdr:colOff>0</xdr:colOff>
      <xdr:row>37</xdr:row>
      <xdr:rowOff>22320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okFair" displayName="BookFair" ref="A1:H22" totalsRowShown="0">
  <autoFilter ref="A1:H22" xr:uid="{00000000-0009-0000-0100-000001000000}"/>
  <tableColumns count="8">
    <tableColumn id="1" xr3:uid="{00000000-0010-0000-0000-000001000000}" name="التاريخ"/>
    <tableColumn id="2" xr3:uid="{00000000-0010-0000-0000-000002000000}" name="المدينة"/>
    <tableColumn id="3" xr3:uid="{00000000-0010-0000-0000-000003000000}" name="الجناح"/>
    <tableColumn id="4" xr3:uid="{00000000-0010-0000-0000-000004000000}" name="دار النشر"/>
    <tableColumn id="5" xr3:uid="{00000000-0010-0000-0000-000005000000}" name="التصنيف"/>
    <tableColumn id="6" xr3:uid="{00000000-0010-0000-0000-000006000000}" name="عدد الكتب المباعة"/>
    <tableColumn id="7" xr3:uid="{00000000-0010-0000-0000-000007000000}" name="الإيرادات"/>
    <tableColumn id="8" xr3:uid="{00000000-0010-0000-0000-000008000000}" name="الزوار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K40"/>
  <sheetViews>
    <sheetView showGridLines="0" rightToLeft="1" tabSelected="1" zoomScale="43" zoomScaleNormal="51" workbookViewId="0">
      <selection activeCell="Y44" sqref="Y44"/>
    </sheetView>
  </sheetViews>
  <sheetFormatPr defaultColWidth="8.6328125" defaultRowHeight="14.5" x14ac:dyDescent="0.35"/>
  <cols>
    <col min="1" max="12" width="13" customWidth="1"/>
  </cols>
  <sheetData>
    <row r="2" spans="2:11" ht="27.75" customHeight="1" x14ac:dyDescent="0.35">
      <c r="B2" s="3" t="s">
        <v>0</v>
      </c>
      <c r="C2" s="3"/>
      <c r="D2" s="3" t="s">
        <v>1</v>
      </c>
      <c r="E2" s="3"/>
      <c r="F2" s="3" t="s">
        <v>2</v>
      </c>
      <c r="G2" s="3"/>
      <c r="H2" s="3" t="s">
        <v>3</v>
      </c>
      <c r="I2" s="3"/>
      <c r="J2" s="3" t="s">
        <v>4</v>
      </c>
      <c r="K2" s="3"/>
    </row>
    <row r="3" spans="2:11" ht="51.75" customHeight="1" x14ac:dyDescent="0.35">
      <c r="B3" s="2">
        <f>SUM(البيانات!F2:F22)</f>
        <v>3260</v>
      </c>
      <c r="C3" s="2"/>
      <c r="D3" s="2">
        <f>SUM(البيانات!G2:G22)</f>
        <v>97800</v>
      </c>
      <c r="E3" s="2"/>
      <c r="F3" s="2">
        <f>SUM(البيانات!H2:H22)/SUMPRODUCT(1/COUNTIF(البيانات!A2:A22,البيانات!A2:A22))</f>
        <v>1562.8571428571433</v>
      </c>
      <c r="G3" s="2"/>
      <c r="H3" s="1">
        <f>SUMPRODUCT(1/COUNTIF(البيانات!D2:D22,البيانات!D2:D22))</f>
        <v>2.9999999999999991</v>
      </c>
      <c r="I3" s="1"/>
      <c r="J3" s="2">
        <f>SUM(البيانات!H2:H22)</f>
        <v>10940</v>
      </c>
      <c r="K3" s="2"/>
    </row>
    <row r="40" spans="2:2" x14ac:dyDescent="0.35">
      <c r="B40" s="4"/>
    </row>
  </sheetData>
  <mergeCells count="10">
    <mergeCell ref="B3:C3"/>
    <mergeCell ref="D3:E3"/>
    <mergeCell ref="F3:G3"/>
    <mergeCell ref="H3:I3"/>
    <mergeCell ref="J3:K3"/>
    <mergeCell ref="B2:C2"/>
    <mergeCell ref="D2:E2"/>
    <mergeCell ref="F2:G2"/>
    <mergeCell ref="H2:I2"/>
    <mergeCell ref="J2:K2"/>
  </mergeCells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rightToLeft="1" zoomScaleNormal="100" workbookViewId="0"/>
  </sheetViews>
  <sheetFormatPr defaultColWidth="8.6328125" defaultRowHeight="14.5" x14ac:dyDescent="0.35"/>
  <cols>
    <col min="1" max="1" width="14" customWidth="1"/>
    <col min="2" max="2" width="11" customWidth="1"/>
    <col min="3" max="3" width="9" customWidth="1"/>
    <col min="4" max="4" width="12" customWidth="1"/>
    <col min="5" max="5" width="10" customWidth="1"/>
    <col min="6" max="6" width="18" customWidth="1"/>
    <col min="7" max="7" width="12" customWidth="1"/>
    <col min="8" max="8" width="10" customWidth="1"/>
  </cols>
  <sheetData>
    <row r="1" spans="1:8" x14ac:dyDescent="0.35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</row>
    <row r="2" spans="1:8" x14ac:dyDescent="0.35">
      <c r="A2" s="6">
        <v>46023</v>
      </c>
      <c r="B2" s="7" t="s">
        <v>13</v>
      </c>
      <c r="C2" s="7" t="s">
        <v>14</v>
      </c>
      <c r="D2" s="7" t="s">
        <v>15</v>
      </c>
      <c r="E2" s="7" t="s">
        <v>16</v>
      </c>
      <c r="F2" s="7">
        <v>181</v>
      </c>
      <c r="G2" s="8">
        <v>5530</v>
      </c>
      <c r="H2" s="7">
        <v>646</v>
      </c>
    </row>
    <row r="3" spans="1:8" x14ac:dyDescent="0.35">
      <c r="A3" s="6">
        <v>46023</v>
      </c>
      <c r="B3" s="7" t="s">
        <v>17</v>
      </c>
      <c r="C3" s="7" t="s">
        <v>18</v>
      </c>
      <c r="D3" s="7" t="s">
        <v>19</v>
      </c>
      <c r="E3" s="7" t="s">
        <v>20</v>
      </c>
      <c r="F3" s="7">
        <v>165</v>
      </c>
      <c r="G3" s="8">
        <v>4830</v>
      </c>
      <c r="H3" s="7">
        <v>589</v>
      </c>
    </row>
    <row r="4" spans="1:8" x14ac:dyDescent="0.35">
      <c r="A4" s="6">
        <v>46023</v>
      </c>
      <c r="B4" s="7" t="s">
        <v>21</v>
      </c>
      <c r="C4" s="7" t="s">
        <v>22</v>
      </c>
      <c r="D4" s="7" t="s">
        <v>23</v>
      </c>
      <c r="E4" s="7" t="s">
        <v>24</v>
      </c>
      <c r="F4" s="7">
        <v>181</v>
      </c>
      <c r="G4" s="8">
        <v>5430</v>
      </c>
      <c r="H4" s="7">
        <v>645</v>
      </c>
    </row>
    <row r="5" spans="1:8" x14ac:dyDescent="0.35">
      <c r="A5" s="6">
        <v>46024</v>
      </c>
      <c r="B5" s="7" t="s">
        <v>13</v>
      </c>
      <c r="C5" s="7" t="s">
        <v>14</v>
      </c>
      <c r="D5" s="7" t="s">
        <v>15</v>
      </c>
      <c r="E5" s="7" t="s">
        <v>20</v>
      </c>
      <c r="F5" s="7">
        <v>212</v>
      </c>
      <c r="G5" s="8">
        <v>6480</v>
      </c>
      <c r="H5" s="7">
        <v>718</v>
      </c>
    </row>
    <row r="6" spans="1:8" x14ac:dyDescent="0.35">
      <c r="A6" s="6">
        <v>46024</v>
      </c>
      <c r="B6" s="7" t="s">
        <v>17</v>
      </c>
      <c r="C6" s="7" t="s">
        <v>18</v>
      </c>
      <c r="D6" s="7" t="s">
        <v>19</v>
      </c>
      <c r="E6" s="7" t="s">
        <v>24</v>
      </c>
      <c r="F6" s="7">
        <v>89</v>
      </c>
      <c r="G6" s="8">
        <v>2600</v>
      </c>
      <c r="H6" s="7">
        <v>301</v>
      </c>
    </row>
    <row r="7" spans="1:8" x14ac:dyDescent="0.35">
      <c r="A7" s="6">
        <v>46024</v>
      </c>
      <c r="B7" s="7" t="s">
        <v>21</v>
      </c>
      <c r="C7" s="7" t="s">
        <v>22</v>
      </c>
      <c r="D7" s="7" t="s">
        <v>23</v>
      </c>
      <c r="E7" s="7" t="s">
        <v>16</v>
      </c>
      <c r="F7" s="7">
        <v>219</v>
      </c>
      <c r="G7" s="8">
        <v>6570</v>
      </c>
      <c r="H7" s="7">
        <v>741</v>
      </c>
    </row>
    <row r="8" spans="1:8" x14ac:dyDescent="0.35">
      <c r="A8" s="6">
        <v>46025</v>
      </c>
      <c r="B8" s="7" t="s">
        <v>13</v>
      </c>
      <c r="C8" s="7" t="s">
        <v>14</v>
      </c>
      <c r="D8" s="7" t="s">
        <v>15</v>
      </c>
      <c r="E8" s="7" t="s">
        <v>24</v>
      </c>
      <c r="F8" s="7">
        <v>97</v>
      </c>
      <c r="G8" s="8">
        <v>2960</v>
      </c>
      <c r="H8" s="7">
        <v>343</v>
      </c>
    </row>
    <row r="9" spans="1:8" x14ac:dyDescent="0.35">
      <c r="A9" s="6">
        <v>46025</v>
      </c>
      <c r="B9" s="7" t="s">
        <v>17</v>
      </c>
      <c r="C9" s="7" t="s">
        <v>18</v>
      </c>
      <c r="D9" s="7" t="s">
        <v>19</v>
      </c>
      <c r="E9" s="7" t="s">
        <v>16</v>
      </c>
      <c r="F9" s="7">
        <v>119</v>
      </c>
      <c r="G9" s="8">
        <v>3480</v>
      </c>
      <c r="H9" s="7">
        <v>421</v>
      </c>
    </row>
    <row r="10" spans="1:8" x14ac:dyDescent="0.35">
      <c r="A10" s="6">
        <v>46025</v>
      </c>
      <c r="B10" s="7" t="s">
        <v>21</v>
      </c>
      <c r="C10" s="7" t="s">
        <v>22</v>
      </c>
      <c r="D10" s="7" t="s">
        <v>23</v>
      </c>
      <c r="E10" s="7" t="s">
        <v>20</v>
      </c>
      <c r="F10" s="7">
        <v>248</v>
      </c>
      <c r="G10" s="8">
        <v>7440</v>
      </c>
      <c r="H10" s="7">
        <v>876</v>
      </c>
    </row>
    <row r="11" spans="1:8" x14ac:dyDescent="0.35">
      <c r="A11" s="6">
        <v>46026</v>
      </c>
      <c r="B11" s="7" t="s">
        <v>13</v>
      </c>
      <c r="C11" s="7" t="s">
        <v>14</v>
      </c>
      <c r="D11" s="7" t="s">
        <v>15</v>
      </c>
      <c r="E11" s="7" t="s">
        <v>16</v>
      </c>
      <c r="F11" s="7">
        <v>150</v>
      </c>
      <c r="G11" s="8">
        <v>4580</v>
      </c>
      <c r="H11" s="7">
        <v>575</v>
      </c>
    </row>
    <row r="12" spans="1:8" x14ac:dyDescent="0.35">
      <c r="A12" s="6">
        <v>46026</v>
      </c>
      <c r="B12" s="7" t="s">
        <v>17</v>
      </c>
      <c r="C12" s="7" t="s">
        <v>18</v>
      </c>
      <c r="D12" s="7" t="s">
        <v>19</v>
      </c>
      <c r="E12" s="7" t="s">
        <v>20</v>
      </c>
      <c r="F12" s="7">
        <v>124</v>
      </c>
      <c r="G12" s="8">
        <v>3630</v>
      </c>
      <c r="H12" s="7">
        <v>475</v>
      </c>
    </row>
    <row r="13" spans="1:8" x14ac:dyDescent="0.35">
      <c r="A13" s="6">
        <v>46026</v>
      </c>
      <c r="B13" s="7" t="s">
        <v>21</v>
      </c>
      <c r="C13" s="7" t="s">
        <v>22</v>
      </c>
      <c r="D13" s="7" t="s">
        <v>23</v>
      </c>
      <c r="E13" s="7" t="s">
        <v>24</v>
      </c>
      <c r="F13" s="7">
        <v>112</v>
      </c>
      <c r="G13" s="8">
        <v>3360</v>
      </c>
      <c r="H13" s="7">
        <v>430</v>
      </c>
    </row>
    <row r="14" spans="1:8" x14ac:dyDescent="0.35">
      <c r="A14" s="6">
        <v>46027</v>
      </c>
      <c r="B14" s="7" t="s">
        <v>13</v>
      </c>
      <c r="C14" s="7" t="s">
        <v>14</v>
      </c>
      <c r="D14" s="7" t="s">
        <v>15</v>
      </c>
      <c r="E14" s="7" t="s">
        <v>20</v>
      </c>
      <c r="F14" s="7">
        <v>216</v>
      </c>
      <c r="G14" s="8">
        <v>6600</v>
      </c>
      <c r="H14" s="7">
        <v>699</v>
      </c>
    </row>
    <row r="15" spans="1:8" x14ac:dyDescent="0.35">
      <c r="A15" s="6">
        <v>46027</v>
      </c>
      <c r="B15" s="7" t="s">
        <v>17</v>
      </c>
      <c r="C15" s="7" t="s">
        <v>18</v>
      </c>
      <c r="D15" s="7" t="s">
        <v>19</v>
      </c>
      <c r="E15" s="7" t="s">
        <v>24</v>
      </c>
      <c r="F15" s="7">
        <v>86</v>
      </c>
      <c r="G15" s="8">
        <v>2520</v>
      </c>
      <c r="H15" s="7">
        <v>278</v>
      </c>
    </row>
    <row r="16" spans="1:8" x14ac:dyDescent="0.35">
      <c r="A16" s="6">
        <v>46027</v>
      </c>
      <c r="B16" s="7" t="s">
        <v>21</v>
      </c>
      <c r="C16" s="7" t="s">
        <v>22</v>
      </c>
      <c r="D16" s="7" t="s">
        <v>23</v>
      </c>
      <c r="E16" s="7" t="s">
        <v>16</v>
      </c>
      <c r="F16" s="7">
        <v>171</v>
      </c>
      <c r="G16" s="8">
        <v>5130</v>
      </c>
      <c r="H16" s="7">
        <v>553</v>
      </c>
    </row>
    <row r="17" spans="1:8" x14ac:dyDescent="0.35">
      <c r="A17" s="6">
        <v>46028</v>
      </c>
      <c r="B17" s="7" t="s">
        <v>13</v>
      </c>
      <c r="C17" s="7" t="s">
        <v>14</v>
      </c>
      <c r="D17" s="7" t="s">
        <v>15</v>
      </c>
      <c r="E17" s="7" t="s">
        <v>24</v>
      </c>
      <c r="F17" s="7">
        <v>89</v>
      </c>
      <c r="G17" s="8">
        <v>2720</v>
      </c>
      <c r="H17" s="7">
        <v>249</v>
      </c>
    </row>
    <row r="18" spans="1:8" x14ac:dyDescent="0.35">
      <c r="A18" s="6">
        <v>46028</v>
      </c>
      <c r="B18" s="7" t="s">
        <v>17</v>
      </c>
      <c r="C18" s="7" t="s">
        <v>18</v>
      </c>
      <c r="D18" s="7" t="s">
        <v>19</v>
      </c>
      <c r="E18" s="7" t="s">
        <v>16</v>
      </c>
      <c r="F18" s="7">
        <v>105</v>
      </c>
      <c r="G18" s="8">
        <v>3070</v>
      </c>
      <c r="H18" s="7">
        <v>294</v>
      </c>
    </row>
    <row r="19" spans="1:8" x14ac:dyDescent="0.35">
      <c r="A19" s="6">
        <v>46028</v>
      </c>
      <c r="B19" s="7" t="s">
        <v>21</v>
      </c>
      <c r="C19" s="7" t="s">
        <v>22</v>
      </c>
      <c r="D19" s="7" t="s">
        <v>23</v>
      </c>
      <c r="E19" s="7" t="s">
        <v>20</v>
      </c>
      <c r="F19" s="7">
        <v>303</v>
      </c>
      <c r="G19" s="8">
        <v>9090</v>
      </c>
      <c r="H19" s="7">
        <v>847</v>
      </c>
    </row>
    <row r="20" spans="1:8" x14ac:dyDescent="0.35">
      <c r="A20" s="6">
        <v>46029</v>
      </c>
      <c r="B20" s="7" t="s">
        <v>13</v>
      </c>
      <c r="C20" s="7" t="s">
        <v>14</v>
      </c>
      <c r="D20" s="7" t="s">
        <v>15</v>
      </c>
      <c r="E20" s="7" t="s">
        <v>16</v>
      </c>
      <c r="F20" s="7">
        <v>135</v>
      </c>
      <c r="G20" s="8">
        <v>4130</v>
      </c>
      <c r="H20" s="7">
        <v>433</v>
      </c>
    </row>
    <row r="21" spans="1:8" x14ac:dyDescent="0.35">
      <c r="A21" s="6">
        <v>46029</v>
      </c>
      <c r="B21" s="7" t="s">
        <v>17</v>
      </c>
      <c r="C21" s="7" t="s">
        <v>18</v>
      </c>
      <c r="D21" s="7" t="s">
        <v>19</v>
      </c>
      <c r="E21" s="7" t="s">
        <v>20</v>
      </c>
      <c r="F21" s="7">
        <v>122</v>
      </c>
      <c r="G21" s="8">
        <v>3570</v>
      </c>
      <c r="H21" s="7">
        <v>391</v>
      </c>
    </row>
    <row r="22" spans="1:8" x14ac:dyDescent="0.35">
      <c r="A22" s="6">
        <v>46029</v>
      </c>
      <c r="B22" s="7" t="s">
        <v>21</v>
      </c>
      <c r="C22" s="7" t="s">
        <v>22</v>
      </c>
      <c r="D22" s="7" t="s">
        <v>23</v>
      </c>
      <c r="E22" s="7" t="s">
        <v>24</v>
      </c>
      <c r="F22" s="7">
        <v>136</v>
      </c>
      <c r="G22" s="8">
        <v>4080</v>
      </c>
      <c r="H22" s="7">
        <v>436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rightToLeft="1" zoomScaleNormal="100" workbookViewId="0"/>
  </sheetViews>
  <sheetFormatPr defaultColWidth="8.6328125" defaultRowHeight="14.5" x14ac:dyDescent="0.35"/>
  <cols>
    <col min="1" max="1" width="16" customWidth="1"/>
    <col min="2" max="2" width="20" customWidth="1"/>
  </cols>
  <sheetData>
    <row r="1" spans="1:2" ht="15.5" x14ac:dyDescent="0.35">
      <c r="A1" s="9" t="s">
        <v>25</v>
      </c>
    </row>
    <row r="2" spans="1:2" x14ac:dyDescent="0.35">
      <c r="A2" s="10" t="s">
        <v>8</v>
      </c>
      <c r="B2" s="10" t="s">
        <v>11</v>
      </c>
    </row>
    <row r="3" spans="1:2" x14ac:dyDescent="0.35">
      <c r="A3" s="11" t="s">
        <v>23</v>
      </c>
      <c r="B3" s="12">
        <f>SUMIFS(البيانات!$G$2:$G$22,البيانات!$D$2:$D$22,A3)</f>
        <v>41100</v>
      </c>
    </row>
    <row r="4" spans="1:2" x14ac:dyDescent="0.35">
      <c r="A4" s="11" t="s">
        <v>19</v>
      </c>
      <c r="B4" s="12">
        <f>SUMIFS(البيانات!$G$2:$G$22,البيانات!$D$2:$D$22,A4)</f>
        <v>23700</v>
      </c>
    </row>
    <row r="5" spans="1:2" x14ac:dyDescent="0.35">
      <c r="A5" s="11" t="s">
        <v>15</v>
      </c>
      <c r="B5" s="12">
        <f>SUMIFS(البيانات!$G$2:$G$22,البيانات!$D$2:$D$22,A5)</f>
        <v>33000</v>
      </c>
    </row>
    <row r="6" spans="1:2" x14ac:dyDescent="0.35">
      <c r="A6" s="13" t="s">
        <v>26</v>
      </c>
      <c r="B6" s="14">
        <f>SUM(B3:B5)</f>
        <v>97800</v>
      </c>
    </row>
    <row r="8" spans="1:2" ht="15.5" x14ac:dyDescent="0.35">
      <c r="A8" s="9" t="s">
        <v>27</v>
      </c>
    </row>
    <row r="9" spans="1:2" x14ac:dyDescent="0.35">
      <c r="A9" s="10" t="s">
        <v>9</v>
      </c>
      <c r="B9" s="10" t="s">
        <v>10</v>
      </c>
    </row>
    <row r="10" spans="1:2" x14ac:dyDescent="0.35">
      <c r="A10" s="11" t="s">
        <v>16</v>
      </c>
      <c r="B10" s="12">
        <f>SUMIFS(البيانات!$F$2:$F$22,البيانات!$E$2:$E$22,A10)</f>
        <v>1080</v>
      </c>
    </row>
    <row r="11" spans="1:2" x14ac:dyDescent="0.35">
      <c r="A11" s="11" t="s">
        <v>20</v>
      </c>
      <c r="B11" s="12">
        <f>SUMIFS(البيانات!$F$2:$F$22,البيانات!$E$2:$E$22,A11)</f>
        <v>1390</v>
      </c>
    </row>
    <row r="12" spans="1:2" x14ac:dyDescent="0.35">
      <c r="A12" s="11" t="s">
        <v>24</v>
      </c>
      <c r="B12" s="12">
        <f>SUMIFS(البيانات!$F$2:$F$22,البيانات!$E$2:$E$22,A12)</f>
        <v>790</v>
      </c>
    </row>
    <row r="13" spans="1:2" x14ac:dyDescent="0.35">
      <c r="A13" s="13" t="s">
        <v>26</v>
      </c>
      <c r="B13" s="14">
        <f>SUM(B10:B12)</f>
        <v>3260</v>
      </c>
    </row>
    <row r="15" spans="1:2" ht="15.5" x14ac:dyDescent="0.35">
      <c r="A15" s="9" t="s">
        <v>28</v>
      </c>
    </row>
    <row r="16" spans="1:2" x14ac:dyDescent="0.35">
      <c r="A16" s="10" t="s">
        <v>5</v>
      </c>
      <c r="B16" s="10" t="s">
        <v>12</v>
      </c>
    </row>
    <row r="17" spans="1:2" x14ac:dyDescent="0.35">
      <c r="A17" s="15">
        <v>46023</v>
      </c>
      <c r="B17" s="12">
        <f>SUMIFS(البيانات!$H$2:$H$22,البيانات!$A$2:$A$22,A17)</f>
        <v>1880</v>
      </c>
    </row>
    <row r="18" spans="1:2" x14ac:dyDescent="0.35">
      <c r="A18" s="15">
        <v>46024</v>
      </c>
      <c r="B18" s="12">
        <f>SUMIFS(البيانات!$H$2:$H$22,البيانات!$A$2:$A$22,A18)</f>
        <v>1760</v>
      </c>
    </row>
    <row r="19" spans="1:2" x14ac:dyDescent="0.35">
      <c r="A19" s="15">
        <v>46025</v>
      </c>
      <c r="B19" s="12">
        <f>SUMIFS(البيانات!$H$2:$H$22,البيانات!$A$2:$A$22,A19)</f>
        <v>1640</v>
      </c>
    </row>
    <row r="20" spans="1:2" x14ac:dyDescent="0.35">
      <c r="A20" s="15">
        <v>46026</v>
      </c>
      <c r="B20" s="12">
        <f>SUMIFS(البيانات!$H$2:$H$22,البيانات!$A$2:$A$22,A20)</f>
        <v>1480</v>
      </c>
    </row>
    <row r="21" spans="1:2" x14ac:dyDescent="0.35">
      <c r="A21" s="15">
        <v>46027</v>
      </c>
      <c r="B21" s="12">
        <f>SUMIFS(البيانات!$H$2:$H$22,البيانات!$A$2:$A$22,A21)</f>
        <v>1530</v>
      </c>
    </row>
    <row r="22" spans="1:2" x14ac:dyDescent="0.35">
      <c r="A22" s="15">
        <v>46028</v>
      </c>
      <c r="B22" s="12">
        <f>SUMIFS(البيانات!$H$2:$H$22,البيانات!$A$2:$A$22,A22)</f>
        <v>1390</v>
      </c>
    </row>
    <row r="23" spans="1:2" x14ac:dyDescent="0.35">
      <c r="A23" s="15">
        <v>46029</v>
      </c>
      <c r="B23" s="12">
        <f>SUMIFS(البيانات!$H$2:$H$22,البيانات!$A$2:$A$22,A23)</f>
        <v>1260</v>
      </c>
    </row>
    <row r="24" spans="1:2" x14ac:dyDescent="0.35">
      <c r="A24" s="13" t="s">
        <v>26</v>
      </c>
      <c r="B24" s="14">
        <f>SUM(B17:B23)</f>
        <v>10940</v>
      </c>
    </row>
    <row r="26" spans="1:2" ht="15.5" x14ac:dyDescent="0.35">
      <c r="A26" s="9" t="s">
        <v>29</v>
      </c>
    </row>
    <row r="27" spans="1:2" x14ac:dyDescent="0.35">
      <c r="A27" s="10" t="s">
        <v>7</v>
      </c>
      <c r="B27" s="10" t="s">
        <v>10</v>
      </c>
    </row>
    <row r="28" spans="1:2" x14ac:dyDescent="0.35">
      <c r="A28" s="11" t="s">
        <v>14</v>
      </c>
      <c r="B28" s="12">
        <f>SUMIFS(البيانات!$F$2:$F$22,البيانات!$C$2:$C$22,A28)</f>
        <v>1080</v>
      </c>
    </row>
    <row r="29" spans="1:2" x14ac:dyDescent="0.35">
      <c r="A29" s="11" t="s">
        <v>18</v>
      </c>
      <c r="B29" s="12">
        <f>SUMIFS(البيانات!$F$2:$F$22,البيانات!$C$2:$C$22,A29)</f>
        <v>810</v>
      </c>
    </row>
    <row r="30" spans="1:2" x14ac:dyDescent="0.35">
      <c r="A30" s="11" t="s">
        <v>22</v>
      </c>
      <c r="B30" s="12">
        <f>SUMIFS(البيانات!$F$2:$F$22,البيانات!$C$2:$C$22,A30)</f>
        <v>1370</v>
      </c>
    </row>
    <row r="31" spans="1:2" x14ac:dyDescent="0.35">
      <c r="A31" s="13" t="s">
        <v>26</v>
      </c>
      <c r="B31" s="14">
        <f>SUM(B28:B30)</f>
        <v>3260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لوحة المعلومات</vt:lpstr>
      <vt:lpstr>البيانات</vt:lpstr>
      <vt:lpstr>التحليل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وجد اللهيبي</cp:lastModifiedBy>
  <cp:revision>1</cp:revision>
  <dcterms:created xsi:type="dcterms:W3CDTF">2026-09-24T12:00:21Z</dcterms:created>
  <dcterms:modified xsi:type="dcterms:W3CDTF">2026-09-24T12:06:37Z</dcterms:modified>
  <dc:language>en-US</dc:language>
</cp:coreProperties>
</file>